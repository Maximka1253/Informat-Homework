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A9FBF68D-CFFF-4BC0-9065-DB4D3E32393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" i="1" l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B67" i="1"/>
  <c r="B68" i="1"/>
  <c r="D68" i="1" s="1"/>
  <c r="B69" i="1"/>
  <c r="B70" i="1"/>
  <c r="B71" i="1"/>
  <c r="B72" i="1"/>
  <c r="B73" i="1"/>
  <c r="B74" i="1"/>
  <c r="B75" i="1"/>
  <c r="B76" i="1"/>
  <c r="B77" i="1"/>
  <c r="B78" i="1"/>
  <c r="B79" i="1"/>
  <c r="B80" i="1"/>
  <c r="D80" i="1" s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D104" i="1" s="1"/>
  <c r="B105" i="1"/>
  <c r="B106" i="1"/>
  <c r="B107" i="1"/>
  <c r="B108" i="1"/>
  <c r="B109" i="1"/>
  <c r="B110" i="1"/>
  <c r="B111" i="1"/>
  <c r="B112" i="1"/>
  <c r="B113" i="1"/>
  <c r="B114" i="1"/>
  <c r="B115" i="1"/>
  <c r="B116" i="1"/>
  <c r="D116" i="1" s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D42" i="1" s="1"/>
  <c r="B43" i="1"/>
  <c r="B44" i="1"/>
  <c r="B45" i="1"/>
  <c r="B46" i="1"/>
  <c r="B47" i="1"/>
  <c r="B48" i="1"/>
  <c r="D48" i="1" s="1"/>
  <c r="B49" i="1"/>
  <c r="B50" i="1"/>
  <c r="B51" i="1"/>
  <c r="B52" i="1"/>
  <c r="B53" i="1"/>
  <c r="D53" i="1" s="1"/>
  <c r="B54" i="1"/>
  <c r="D54" i="1" s="1"/>
  <c r="B55" i="1"/>
  <c r="D55" i="1" s="1"/>
  <c r="B56" i="1"/>
  <c r="D56" i="1" s="1"/>
  <c r="B57" i="1"/>
  <c r="D57" i="1" s="1"/>
  <c r="B58" i="1"/>
  <c r="B59" i="1"/>
  <c r="D59" i="1" s="1"/>
  <c r="B60" i="1"/>
  <c r="D60" i="1" s="1"/>
  <c r="B61" i="1"/>
  <c r="D61" i="1" s="1"/>
  <c r="B62" i="1"/>
  <c r="B63" i="1"/>
  <c r="B64" i="1"/>
  <c r="D64" i="1" s="1"/>
  <c r="B65" i="1"/>
  <c r="D65" i="1" s="1"/>
  <c r="B66" i="1"/>
  <c r="D66" i="1" s="1"/>
  <c r="C17" i="1"/>
  <c r="B17" i="1"/>
  <c r="E17" i="1" s="1"/>
  <c r="C9" i="1"/>
  <c r="C11" i="1" s="1"/>
  <c r="C13" i="1" s="1"/>
  <c r="D88" i="1" l="1"/>
  <c r="D76" i="1"/>
  <c r="D112" i="1"/>
  <c r="D92" i="1"/>
  <c r="D111" i="1"/>
  <c r="D99" i="1"/>
  <c r="D87" i="1"/>
  <c r="D75" i="1"/>
  <c r="D100" i="1"/>
  <c r="D107" i="1"/>
  <c r="D95" i="1"/>
  <c r="D83" i="1"/>
  <c r="D71" i="1"/>
  <c r="D115" i="1"/>
  <c r="D103" i="1"/>
  <c r="D91" i="1"/>
  <c r="D79" i="1"/>
  <c r="D67" i="1"/>
  <c r="D114" i="1"/>
  <c r="D102" i="1"/>
  <c r="D90" i="1"/>
  <c r="D78" i="1"/>
  <c r="D113" i="1"/>
  <c r="D101" i="1"/>
  <c r="D89" i="1"/>
  <c r="D77" i="1"/>
  <c r="D108" i="1"/>
  <c r="D96" i="1"/>
  <c r="D84" i="1"/>
  <c r="D72" i="1"/>
  <c r="D110" i="1"/>
  <c r="D98" i="1"/>
  <c r="D86" i="1"/>
  <c r="D74" i="1"/>
  <c r="D109" i="1"/>
  <c r="D97" i="1"/>
  <c r="D85" i="1"/>
  <c r="D73" i="1"/>
  <c r="D106" i="1"/>
  <c r="D94" i="1"/>
  <c r="D82" i="1"/>
  <c r="D70" i="1"/>
  <c r="D105" i="1"/>
  <c r="D93" i="1"/>
  <c r="D81" i="1"/>
  <c r="D69" i="1"/>
  <c r="E114" i="1"/>
  <c r="E76" i="1"/>
  <c r="E111" i="1"/>
  <c r="E109" i="1"/>
  <c r="E97" i="1"/>
  <c r="E85" i="1"/>
  <c r="E73" i="1"/>
  <c r="E77" i="1"/>
  <c r="E89" i="1"/>
  <c r="E108" i="1"/>
  <c r="E107" i="1"/>
  <c r="E95" i="1"/>
  <c r="E83" i="1"/>
  <c r="E71" i="1"/>
  <c r="E102" i="1"/>
  <c r="E88" i="1"/>
  <c r="E75" i="1"/>
  <c r="E74" i="1"/>
  <c r="E96" i="1"/>
  <c r="E106" i="1"/>
  <c r="E94" i="1"/>
  <c r="E82" i="1"/>
  <c r="E70" i="1"/>
  <c r="E112" i="1"/>
  <c r="E110" i="1"/>
  <c r="E105" i="1"/>
  <c r="E93" i="1"/>
  <c r="E81" i="1"/>
  <c r="E69" i="1"/>
  <c r="E90" i="1"/>
  <c r="E101" i="1"/>
  <c r="E99" i="1"/>
  <c r="E98" i="1"/>
  <c r="E84" i="1"/>
  <c r="E116" i="1"/>
  <c r="E104" i="1"/>
  <c r="E92" i="1"/>
  <c r="E80" i="1"/>
  <c r="E68" i="1"/>
  <c r="E78" i="1"/>
  <c r="E113" i="1"/>
  <c r="E100" i="1"/>
  <c r="E87" i="1"/>
  <c r="E86" i="1"/>
  <c r="E72" i="1"/>
  <c r="E115" i="1"/>
  <c r="E103" i="1"/>
  <c r="E91" i="1"/>
  <c r="E79" i="1"/>
  <c r="E67" i="1"/>
  <c r="D62" i="1"/>
  <c r="D58" i="1"/>
  <c r="D63" i="1"/>
  <c r="D43" i="1"/>
  <c r="D44" i="1"/>
  <c r="D51" i="1"/>
  <c r="D49" i="1"/>
  <c r="D46" i="1"/>
  <c r="D47" i="1"/>
  <c r="D30" i="1"/>
  <c r="D18" i="1"/>
  <c r="D31" i="1"/>
  <c r="D19" i="1"/>
  <c r="D34" i="1"/>
  <c r="D52" i="1"/>
  <c r="D32" i="1"/>
  <c r="D35" i="1"/>
  <c r="D50" i="1"/>
  <c r="D33" i="1"/>
  <c r="D41" i="1"/>
  <c r="D23" i="1"/>
  <c r="D22" i="1"/>
  <c r="E22" i="1"/>
  <c r="D21" i="1"/>
  <c r="D20" i="1"/>
  <c r="E20" i="1"/>
  <c r="D17" i="1"/>
  <c r="E52" i="1"/>
  <c r="D45" i="1"/>
  <c r="E63" i="1"/>
  <c r="E41" i="1"/>
  <c r="D38" i="1"/>
  <c r="D26" i="1"/>
  <c r="E64" i="1"/>
  <c r="E62" i="1"/>
  <c r="E29" i="1"/>
  <c r="E61" i="1"/>
  <c r="E49" i="1"/>
  <c r="E26" i="1"/>
  <c r="E25" i="1"/>
  <c r="E50" i="1"/>
  <c r="E19" i="1"/>
  <c r="E60" i="1"/>
  <c r="E48" i="1"/>
  <c r="E18" i="1"/>
  <c r="E59" i="1"/>
  <c r="E47" i="1"/>
  <c r="E58" i="1"/>
  <c r="E46" i="1"/>
  <c r="E57" i="1"/>
  <c r="E45" i="1"/>
  <c r="D39" i="1"/>
  <c r="E56" i="1"/>
  <c r="E44" i="1"/>
  <c r="E30" i="1"/>
  <c r="E37" i="1"/>
  <c r="E55" i="1"/>
  <c r="E43" i="1"/>
  <c r="E28" i="1"/>
  <c r="D37" i="1"/>
  <c r="D25" i="1"/>
  <c r="E66" i="1"/>
  <c r="E54" i="1"/>
  <c r="E42" i="1"/>
  <c r="E51" i="1"/>
  <c r="E27" i="1"/>
  <c r="D36" i="1"/>
  <c r="D24" i="1"/>
  <c r="E65" i="1"/>
  <c r="E53" i="1"/>
  <c r="D28" i="1"/>
  <c r="D29" i="1"/>
  <c r="D40" i="1"/>
  <c r="E39" i="1"/>
  <c r="D27" i="1"/>
  <c r="E36" i="1"/>
  <c r="E24" i="1"/>
  <c r="E38" i="1"/>
  <c r="E35" i="1"/>
  <c r="E23" i="1"/>
  <c r="E33" i="1"/>
  <c r="E21" i="1"/>
  <c r="E34" i="1"/>
  <c r="E32" i="1"/>
  <c r="E31" i="1"/>
  <c r="E40" i="1"/>
</calcChain>
</file>

<file path=xl/sharedStrings.xml><?xml version="1.0" encoding="utf-8"?>
<sst xmlns="http://schemas.openxmlformats.org/spreadsheetml/2006/main" count="16" uniqueCount="16">
  <si>
    <t>КРЕДИТНЫЙ КАЛЬКУЛЯТОР</t>
  </si>
  <si>
    <t>Сумма кредита</t>
  </si>
  <si>
    <t>Готовая ставка</t>
  </si>
  <si>
    <t>Срок кредита</t>
  </si>
  <si>
    <t>Сумма ежемес. выплат</t>
  </si>
  <si>
    <t>Общая сумма выплат</t>
  </si>
  <si>
    <t>Переплата</t>
  </si>
  <si>
    <t>Период</t>
  </si>
  <si>
    <t>Выплата кредита</t>
  </si>
  <si>
    <t>Выплата процентов</t>
  </si>
  <si>
    <t>Общая выплата</t>
  </si>
  <si>
    <t>Осталось выплатить</t>
  </si>
  <si>
    <t>Сумма для топового пк и оборудования для него</t>
  </si>
  <si>
    <t>Примерная ставка для кредита в России</t>
  </si>
  <si>
    <t>Максимальная сумма которую я готов отдать за месяц</t>
  </si>
  <si>
    <t>Итого я погашу кредит примерно через 8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</si>
</sst>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₽-419]_-;\-* #,##0.00\ [$₽-419]_-;_-* &quot;-&quot;??\ [$₽-419]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Aptos Slab Black"/>
      <family val="2"/>
    </font>
    <font>
      <sz val="18"/>
      <color theme="1"/>
      <name val="Calibri"/>
      <family val="2"/>
      <scheme val="minor"/>
    </font>
    <font>
      <sz val="13"/>
      <color theme="1"/>
      <name val="Bodoni MT Black"/>
      <family val="1"/>
    </font>
    <font>
      <b/>
      <sz val="12"/>
      <color theme="1"/>
      <name val="Agency FB"/>
      <family val="2"/>
    </font>
    <font>
      <sz val="13"/>
      <color theme="3" tint="-0.499984740745262"/>
      <name val="Bodoni MT Black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64" fontId="5" fillId="2" borderId="0" xfId="0" applyNumberFormat="1" applyFont="1" applyFill="1"/>
    <xf numFmtId="0" fontId="5" fillId="0" borderId="0" xfId="0" applyFont="1"/>
    <xf numFmtId="10" fontId="5" fillId="2" borderId="0" xfId="1" applyNumberFormat="1" applyFont="1" applyFill="1"/>
    <xf numFmtId="0" fontId="5" fillId="2" borderId="0" xfId="0" applyFont="1" applyFill="1"/>
    <xf numFmtId="0" fontId="6" fillId="0" borderId="0" xfId="0" applyFont="1" applyBorder="1"/>
    <xf numFmtId="0" fontId="0" fillId="0" borderId="0" xfId="0" applyBorder="1"/>
    <xf numFmtId="164" fontId="5" fillId="3" borderId="0" xfId="0" applyNumberFormat="1" applyFont="1" applyFill="1"/>
    <xf numFmtId="164" fontId="5" fillId="0" borderId="0" xfId="0" applyNumberFormat="1" applyFont="1"/>
    <xf numFmtId="164" fontId="0" fillId="0" borderId="0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F15" sqref="F15"/>
    </sheetView>
  </sheetViews>
  <sheetFormatPr defaultColWidth="14.7109375" defaultRowHeight="18" customHeight="1" x14ac:dyDescent="0.25"/>
  <cols>
    <col min="2" max="2" width="27.5703125" customWidth="1"/>
    <col min="3" max="3" width="25.85546875" customWidth="1"/>
    <col min="4" max="4" width="21" customWidth="1"/>
    <col min="5" max="5" width="25.42578125" customWidth="1"/>
  </cols>
  <sheetData>
    <row r="1" spans="1:5" ht="23.25" customHeight="1" x14ac:dyDescent="0.35">
      <c r="A1" s="2" t="s">
        <v>0</v>
      </c>
      <c r="B1" s="3"/>
      <c r="C1" s="3"/>
    </row>
    <row r="3" spans="1:5" ht="18" customHeight="1" x14ac:dyDescent="0.25">
      <c r="B3" s="4" t="s">
        <v>1</v>
      </c>
      <c r="C3" s="5">
        <v>850000</v>
      </c>
      <c r="D3" s="1" t="s">
        <v>12</v>
      </c>
      <c r="E3" s="1"/>
    </row>
    <row r="4" spans="1:5" ht="6" customHeight="1" x14ac:dyDescent="0.25">
      <c r="B4" s="4"/>
      <c r="C4" s="6"/>
    </row>
    <row r="5" spans="1:5" ht="18" customHeight="1" x14ac:dyDescent="0.25">
      <c r="B5" s="4" t="s">
        <v>2</v>
      </c>
      <c r="C5" s="7">
        <v>0.23499999999999999</v>
      </c>
      <c r="D5" s="1" t="s">
        <v>13</v>
      </c>
      <c r="E5" s="1"/>
    </row>
    <row r="6" spans="1:5" ht="6" customHeight="1" x14ac:dyDescent="0.25">
      <c r="B6" s="4"/>
      <c r="C6" s="6"/>
    </row>
    <row r="7" spans="1:5" ht="18" customHeight="1" x14ac:dyDescent="0.25">
      <c r="B7" s="4" t="s">
        <v>3</v>
      </c>
      <c r="C7" s="8">
        <v>92.065823581372314</v>
      </c>
    </row>
    <row r="8" spans="1:5" ht="6" customHeight="1" x14ac:dyDescent="0.25">
      <c r="B8" s="4"/>
      <c r="C8" s="6"/>
    </row>
    <row r="9" spans="1:5" ht="18" customHeight="1" x14ac:dyDescent="0.25">
      <c r="B9" s="4" t="s">
        <v>4</v>
      </c>
      <c r="C9" s="11">
        <f>PMT(C5/12,C7,C3,0,0)</f>
        <v>-20000.000000117539</v>
      </c>
      <c r="D9" s="1" t="s">
        <v>14</v>
      </c>
      <c r="E9" s="1"/>
    </row>
    <row r="10" spans="1:5" ht="6" customHeight="1" x14ac:dyDescent="0.25">
      <c r="B10" s="4"/>
      <c r="C10" s="12"/>
    </row>
    <row r="11" spans="1:5" ht="18" customHeight="1" x14ac:dyDescent="0.25">
      <c r="B11" s="4" t="s">
        <v>5</v>
      </c>
      <c r="C11" s="11">
        <f>C9*C7</f>
        <v>-1841316.4716382676</v>
      </c>
    </row>
    <row r="12" spans="1:5" ht="6" customHeight="1" x14ac:dyDescent="0.25">
      <c r="B12" s="4"/>
      <c r="C12" s="12"/>
    </row>
    <row r="13" spans="1:5" ht="18" customHeight="1" x14ac:dyDescent="0.25">
      <c r="B13" s="4" t="s">
        <v>6</v>
      </c>
      <c r="C13" s="11">
        <f>C11+C3</f>
        <v>-991316.47163826763</v>
      </c>
      <c r="D13" s="1" t="s">
        <v>15</v>
      </c>
      <c r="E13" s="1"/>
    </row>
    <row r="16" spans="1:5" ht="18" customHeight="1" x14ac:dyDescent="0.25">
      <c r="A16" s="9" t="s">
        <v>7</v>
      </c>
      <c r="B16" s="9" t="s">
        <v>8</v>
      </c>
      <c r="C16" s="9" t="s">
        <v>9</v>
      </c>
      <c r="D16" s="9" t="s">
        <v>10</v>
      </c>
      <c r="E16" s="9" t="s">
        <v>11</v>
      </c>
    </row>
    <row r="17" spans="1:5" ht="18" customHeight="1" x14ac:dyDescent="0.25">
      <c r="A17" s="10">
        <v>1</v>
      </c>
      <c r="B17" s="13">
        <f>PPMT($C$5/12,A17,$C$7,$C$3,0,0)</f>
        <v>-3354.1666667842087</v>
      </c>
      <c r="C17" s="13">
        <f>IPMT($C$5/12,A17,$C$7,$C$3,0,0)</f>
        <v>-16645.833333333332</v>
      </c>
      <c r="D17" s="13">
        <f>B17+C17</f>
        <v>-20000.000000117539</v>
      </c>
      <c r="E17" s="13">
        <f>$C$3+SUM($B$17:B17)</f>
        <v>846645.83333321579</v>
      </c>
    </row>
    <row r="18" spans="1:5" ht="18" customHeight="1" x14ac:dyDescent="0.25">
      <c r="A18" s="10">
        <v>2</v>
      </c>
      <c r="B18" s="13">
        <f t="shared" ref="B18:B81" si="0">PPMT($C$5/12,A18,$C$7,$C$3,0,0)</f>
        <v>-3419.8524306754007</v>
      </c>
      <c r="C18" s="13">
        <f t="shared" ref="C18:C81" si="1">IPMT($C$5/12,A18,$C$7,$C$3,0,0)</f>
        <v>-16580.147569442142</v>
      </c>
      <c r="D18" s="13">
        <f t="shared" ref="D18:D81" si="2">B18+C18</f>
        <v>-20000.000000117543</v>
      </c>
      <c r="E18" s="13">
        <f>$C$3+SUM($B$17:B18)</f>
        <v>843225.98090254038</v>
      </c>
    </row>
    <row r="19" spans="1:5" ht="18" customHeight="1" x14ac:dyDescent="0.25">
      <c r="A19" s="10">
        <v>3</v>
      </c>
      <c r="B19" s="13">
        <f t="shared" si="0"/>
        <v>-3486.8245407761269</v>
      </c>
      <c r="C19" s="13">
        <f t="shared" si="1"/>
        <v>-16513.175459341412</v>
      </c>
      <c r="D19" s="13">
        <f t="shared" si="2"/>
        <v>-20000.000000117539</v>
      </c>
      <c r="E19" s="13">
        <f>$C$3+SUM($B$17:B19)</f>
        <v>839739.1563617643</v>
      </c>
    </row>
    <row r="20" spans="1:5" ht="18" customHeight="1" x14ac:dyDescent="0.25">
      <c r="A20" s="10">
        <v>4</v>
      </c>
      <c r="B20" s="13">
        <f t="shared" si="0"/>
        <v>-3555.108188032993</v>
      </c>
      <c r="C20" s="13">
        <f t="shared" si="1"/>
        <v>-16444.891812084548</v>
      </c>
      <c r="D20" s="13">
        <f t="shared" si="2"/>
        <v>-20000.000000117543</v>
      </c>
      <c r="E20" s="13">
        <f>$C$3+SUM($B$17:B20)</f>
        <v>836184.04817373131</v>
      </c>
    </row>
    <row r="21" spans="1:5" ht="18" customHeight="1" x14ac:dyDescent="0.25">
      <c r="A21" s="10">
        <v>5</v>
      </c>
      <c r="B21" s="13">
        <f t="shared" si="0"/>
        <v>-3624.7290567153054</v>
      </c>
      <c r="C21" s="13">
        <f t="shared" si="1"/>
        <v>-16375.270943402234</v>
      </c>
      <c r="D21" s="13">
        <f t="shared" si="2"/>
        <v>-20000.000000117539</v>
      </c>
      <c r="E21" s="13">
        <f>$C$3+SUM($B$17:B21)</f>
        <v>832559.31911701593</v>
      </c>
    </row>
    <row r="22" spans="1:5" ht="18" customHeight="1" x14ac:dyDescent="0.25">
      <c r="A22" s="10">
        <v>6</v>
      </c>
      <c r="B22" s="13">
        <f t="shared" si="0"/>
        <v>-3695.7133340759801</v>
      </c>
      <c r="C22" s="13">
        <f t="shared" si="1"/>
        <v>-16304.28666604156</v>
      </c>
      <c r="D22" s="13">
        <f t="shared" si="2"/>
        <v>-20000.000000117539</v>
      </c>
      <c r="E22" s="13">
        <f>$C$3+SUM($B$17:B22)</f>
        <v>828863.60578293994</v>
      </c>
    </row>
    <row r="23" spans="1:5" ht="18" customHeight="1" x14ac:dyDescent="0.25">
      <c r="A23" s="10">
        <v>7</v>
      </c>
      <c r="B23" s="13">
        <f t="shared" si="0"/>
        <v>-3768.087720201635</v>
      </c>
      <c r="C23" s="13">
        <f t="shared" si="1"/>
        <v>-16231.912279915905</v>
      </c>
      <c r="D23" s="13">
        <f t="shared" si="2"/>
        <v>-20000.000000117539</v>
      </c>
      <c r="E23" s="13">
        <f>$C$3+SUM($B$17:B23)</f>
        <v>825095.51806273835</v>
      </c>
    </row>
    <row r="24" spans="1:5" ht="18" customHeight="1" x14ac:dyDescent="0.25">
      <c r="A24" s="10">
        <v>8</v>
      </c>
      <c r="B24" s="13">
        <f t="shared" si="0"/>
        <v>-3841.8794380555837</v>
      </c>
      <c r="C24" s="13">
        <f t="shared" si="1"/>
        <v>-16158.120562061955</v>
      </c>
      <c r="D24" s="13">
        <f t="shared" si="2"/>
        <v>-20000.000000117539</v>
      </c>
      <c r="E24" s="13">
        <f>$C$3+SUM($B$17:B24)</f>
        <v>821253.63862468279</v>
      </c>
    </row>
    <row r="25" spans="1:5" ht="18" customHeight="1" x14ac:dyDescent="0.25">
      <c r="A25" s="10">
        <v>9</v>
      </c>
      <c r="B25" s="13">
        <f t="shared" si="0"/>
        <v>-3917.1162437175053</v>
      </c>
      <c r="C25" s="13">
        <f t="shared" si="1"/>
        <v>-16082.883756400033</v>
      </c>
      <c r="D25" s="13">
        <f t="shared" si="2"/>
        <v>-20000.000000117539</v>
      </c>
      <c r="E25" s="13">
        <f>$C$3+SUM($B$17:B25)</f>
        <v>817336.5223809653</v>
      </c>
    </row>
    <row r="26" spans="1:5" ht="18" customHeight="1" x14ac:dyDescent="0.25">
      <c r="A26" s="10">
        <v>10</v>
      </c>
      <c r="B26" s="13">
        <f t="shared" si="0"/>
        <v>-3993.8264368236391</v>
      </c>
      <c r="C26" s="13">
        <f t="shared" si="1"/>
        <v>-16006.1735632939</v>
      </c>
      <c r="D26" s="13">
        <f t="shared" si="2"/>
        <v>-20000.000000117539</v>
      </c>
      <c r="E26" s="13">
        <f>$C$3+SUM($B$17:B26)</f>
        <v>813342.6959441416</v>
      </c>
    </row>
    <row r="27" spans="1:5" ht="18" customHeight="1" x14ac:dyDescent="0.25">
      <c r="A27" s="10">
        <v>11</v>
      </c>
      <c r="B27" s="13">
        <f t="shared" si="0"/>
        <v>-4072.0388712114359</v>
      </c>
      <c r="C27" s="13">
        <f t="shared" si="1"/>
        <v>-15927.961128906105</v>
      </c>
      <c r="D27" s="13">
        <f t="shared" si="2"/>
        <v>-20000.000000117539</v>
      </c>
      <c r="E27" s="13">
        <f>$C$3+SUM($B$17:B27)</f>
        <v>809270.65707293013</v>
      </c>
    </row>
    <row r="28" spans="1:5" ht="18" customHeight="1" x14ac:dyDescent="0.25">
      <c r="A28" s="10">
        <v>12</v>
      </c>
      <c r="B28" s="13">
        <f t="shared" si="0"/>
        <v>-4151.7829657726597</v>
      </c>
      <c r="C28" s="13">
        <f t="shared" si="1"/>
        <v>-15848.21703434488</v>
      </c>
      <c r="D28" s="13">
        <f t="shared" si="2"/>
        <v>-20000.000000117539</v>
      </c>
      <c r="E28" s="13">
        <f>$C$3+SUM($B$17:B28)</f>
        <v>805118.87410715758</v>
      </c>
    </row>
    <row r="29" spans="1:5" ht="18" customHeight="1" x14ac:dyDescent="0.25">
      <c r="A29" s="10">
        <v>13</v>
      </c>
      <c r="B29" s="13">
        <f t="shared" si="0"/>
        <v>-4233.0887155190412</v>
      </c>
      <c r="C29" s="13">
        <f t="shared" si="1"/>
        <v>-15766.911284598498</v>
      </c>
      <c r="D29" s="13">
        <f t="shared" si="2"/>
        <v>-20000.000000117539</v>
      </c>
      <c r="E29" s="13">
        <f>$C$3+SUM($B$17:B29)</f>
        <v>800885.78539163852</v>
      </c>
    </row>
    <row r="30" spans="1:5" ht="18" customHeight="1" x14ac:dyDescent="0.25">
      <c r="A30" s="10">
        <v>14</v>
      </c>
      <c r="B30" s="13">
        <f t="shared" si="0"/>
        <v>-4315.9867028646222</v>
      </c>
      <c r="C30" s="13">
        <f t="shared" si="1"/>
        <v>-15684.013297252919</v>
      </c>
      <c r="D30" s="13">
        <f t="shared" si="2"/>
        <v>-20000.000000117543</v>
      </c>
      <c r="E30" s="13">
        <f>$C$3+SUM($B$17:B30)</f>
        <v>796569.79868877388</v>
      </c>
    </row>
    <row r="31" spans="1:5" ht="18" customHeight="1" x14ac:dyDescent="0.25">
      <c r="A31" s="10">
        <v>15</v>
      </c>
      <c r="B31" s="13">
        <f t="shared" si="0"/>
        <v>-4400.5081091290549</v>
      </c>
      <c r="C31" s="13">
        <f t="shared" si="1"/>
        <v>-15599.491890988487</v>
      </c>
      <c r="D31" s="13">
        <f t="shared" si="2"/>
        <v>-20000.000000117543</v>
      </c>
      <c r="E31" s="13">
        <f>$C$3+SUM($B$17:B31)</f>
        <v>792169.29057964485</v>
      </c>
    </row>
    <row r="32" spans="1:5" ht="18" customHeight="1" x14ac:dyDescent="0.25">
      <c r="A32" s="10">
        <v>16</v>
      </c>
      <c r="B32" s="13">
        <f t="shared" si="0"/>
        <v>-4486.6847262661649</v>
      </c>
      <c r="C32" s="13">
        <f t="shared" si="1"/>
        <v>-15513.315273851376</v>
      </c>
      <c r="D32" s="13">
        <f t="shared" si="2"/>
        <v>-20000.000000117543</v>
      </c>
      <c r="E32" s="13">
        <f>$C$3+SUM($B$17:B32)</f>
        <v>787682.60585337866</v>
      </c>
    </row>
    <row r="33" spans="1:5" ht="18" customHeight="1" x14ac:dyDescent="0.25">
      <c r="A33" s="10">
        <v>17</v>
      </c>
      <c r="B33" s="13">
        <f t="shared" si="0"/>
        <v>-4574.5489688222106</v>
      </c>
      <c r="C33" s="13">
        <f t="shared" si="1"/>
        <v>-15425.451031295328</v>
      </c>
      <c r="D33" s="13">
        <f t="shared" si="2"/>
        <v>-20000.000000117539</v>
      </c>
      <c r="E33" s="13">
        <f>$C$3+SUM($B$17:B33)</f>
        <v>783108.05688455643</v>
      </c>
    </row>
    <row r="34" spans="1:5" ht="18" customHeight="1" x14ac:dyDescent="0.25">
      <c r="A34" s="10">
        <v>18</v>
      </c>
      <c r="B34" s="13">
        <f t="shared" si="0"/>
        <v>-4664.133886128313</v>
      </c>
      <c r="C34" s="13">
        <f t="shared" si="1"/>
        <v>-15335.866113989228</v>
      </c>
      <c r="D34" s="13">
        <f t="shared" si="2"/>
        <v>-20000.000000117543</v>
      </c>
      <c r="E34" s="13">
        <f>$C$3+SUM($B$17:B34)</f>
        <v>778443.92299842811</v>
      </c>
    </row>
    <row r="35" spans="1:5" ht="18" customHeight="1" x14ac:dyDescent="0.25">
      <c r="A35" s="10">
        <v>19</v>
      </c>
      <c r="B35" s="13">
        <f t="shared" si="0"/>
        <v>-4755.4731747316582</v>
      </c>
      <c r="C35" s="13">
        <f t="shared" si="1"/>
        <v>-15244.526825385881</v>
      </c>
      <c r="D35" s="13">
        <f t="shared" si="2"/>
        <v>-20000.000000117539</v>
      </c>
      <c r="E35" s="13">
        <f>$C$3+SUM($B$17:B35)</f>
        <v>773688.4498236964</v>
      </c>
    </row>
    <row r="36" spans="1:5" ht="18" customHeight="1" x14ac:dyDescent="0.25">
      <c r="A36" s="10">
        <v>20</v>
      </c>
      <c r="B36" s="13">
        <f t="shared" si="0"/>
        <v>-4848.6011910701536</v>
      </c>
      <c r="C36" s="13">
        <f t="shared" si="1"/>
        <v>-15151.398809047387</v>
      </c>
      <c r="D36" s="13">
        <f t="shared" si="2"/>
        <v>-20000.000000117539</v>
      </c>
      <c r="E36" s="13">
        <f>$C$3+SUM($B$17:B36)</f>
        <v>768839.84863262635</v>
      </c>
    </row>
    <row r="37" spans="1:5" ht="18" customHeight="1" x14ac:dyDescent="0.25">
      <c r="A37" s="10">
        <v>21</v>
      </c>
      <c r="B37" s="13">
        <f t="shared" si="0"/>
        <v>-4943.5529643952777</v>
      </c>
      <c r="C37" s="13">
        <f t="shared" si="1"/>
        <v>-15056.447035722262</v>
      </c>
      <c r="D37" s="13">
        <f t="shared" si="2"/>
        <v>-20000.000000117539</v>
      </c>
      <c r="E37" s="13">
        <f>$C$3+SUM($B$17:B37)</f>
        <v>763896.29566823109</v>
      </c>
    </row>
    <row r="38" spans="1:5" ht="18" customHeight="1" x14ac:dyDescent="0.25">
      <c r="A38" s="10">
        <v>22</v>
      </c>
      <c r="B38" s="13">
        <f t="shared" si="0"/>
        <v>-5040.3642099480185</v>
      </c>
      <c r="C38" s="13">
        <f t="shared" si="1"/>
        <v>-14959.635790169519</v>
      </c>
      <c r="D38" s="13">
        <f t="shared" si="2"/>
        <v>-20000.000000117536</v>
      </c>
      <c r="E38" s="13">
        <f>$C$3+SUM($B$17:B38)</f>
        <v>758855.93145828298</v>
      </c>
    </row>
    <row r="39" spans="1:5" ht="18" customHeight="1" x14ac:dyDescent="0.25">
      <c r="A39" s="10">
        <v>23</v>
      </c>
      <c r="B39" s="13">
        <f t="shared" si="0"/>
        <v>-5139.0713423928328</v>
      </c>
      <c r="C39" s="13">
        <f t="shared" si="1"/>
        <v>-14860.928657724708</v>
      </c>
      <c r="D39" s="13">
        <f t="shared" si="2"/>
        <v>-20000.000000117539</v>
      </c>
      <c r="E39" s="13">
        <f>$C$3+SUM($B$17:B39)</f>
        <v>753716.86011589016</v>
      </c>
    </row>
    <row r="40" spans="1:5" ht="18" customHeight="1" x14ac:dyDescent="0.25">
      <c r="A40" s="10">
        <v>24</v>
      </c>
      <c r="B40" s="13">
        <f t="shared" si="0"/>
        <v>-5239.7114895146924</v>
      </c>
      <c r="C40" s="13">
        <f t="shared" si="1"/>
        <v>-14760.288510602844</v>
      </c>
      <c r="D40" s="13">
        <f t="shared" si="2"/>
        <v>-20000.000000117536</v>
      </c>
      <c r="E40" s="13">
        <f>$C$3+SUM($B$17:B40)</f>
        <v>748477.14862637548</v>
      </c>
    </row>
    <row r="41" spans="1:5" ht="18" customHeight="1" x14ac:dyDescent="0.25">
      <c r="A41" s="10">
        <v>25</v>
      </c>
      <c r="B41" s="13">
        <f t="shared" si="0"/>
        <v>-5342.3225061843568</v>
      </c>
      <c r="C41" s="13">
        <f t="shared" si="1"/>
        <v>-14657.677493933184</v>
      </c>
      <c r="D41" s="13">
        <f t="shared" si="2"/>
        <v>-20000.000000117543</v>
      </c>
      <c r="E41" s="13">
        <f>$C$3+SUM($B$17:B41)</f>
        <v>743134.82612019114</v>
      </c>
    </row>
    <row r="42" spans="1:5" ht="18" customHeight="1" x14ac:dyDescent="0.25">
      <c r="A42" s="10">
        <v>26</v>
      </c>
      <c r="B42" s="13">
        <f t="shared" si="0"/>
        <v>-5446.942988597134</v>
      </c>
      <c r="C42" s="13">
        <f t="shared" si="1"/>
        <v>-14553.057011520406</v>
      </c>
      <c r="D42" s="13">
        <f t="shared" si="2"/>
        <v>-20000.000000117539</v>
      </c>
      <c r="E42" s="13">
        <f>$C$3+SUM($B$17:B42)</f>
        <v>737687.88313159393</v>
      </c>
    </row>
    <row r="43" spans="1:5" ht="18" customHeight="1" x14ac:dyDescent="0.25">
      <c r="A43" s="10">
        <v>27</v>
      </c>
      <c r="B43" s="13">
        <f t="shared" si="0"/>
        <v>-5553.6122887904921</v>
      </c>
      <c r="C43" s="13">
        <f t="shared" si="1"/>
        <v>-14446.387711327046</v>
      </c>
      <c r="D43" s="13">
        <f t="shared" si="2"/>
        <v>-20000.000000117539</v>
      </c>
      <c r="E43" s="13">
        <f>$C$3+SUM($B$17:B43)</f>
        <v>732134.27084280353</v>
      </c>
    </row>
    <row r="44" spans="1:5" ht="18" customHeight="1" x14ac:dyDescent="0.25">
      <c r="A44" s="10">
        <v>28</v>
      </c>
      <c r="B44" s="13">
        <f t="shared" si="0"/>
        <v>-5662.3705294459733</v>
      </c>
      <c r="C44" s="13">
        <f t="shared" si="1"/>
        <v>-14337.629470671565</v>
      </c>
      <c r="D44" s="13">
        <f t="shared" si="2"/>
        <v>-20000.000000117539</v>
      </c>
      <c r="E44" s="13">
        <f>$C$3+SUM($B$17:B44)</f>
        <v>726471.90031335747</v>
      </c>
    </row>
    <row r="45" spans="1:5" ht="18" customHeight="1" x14ac:dyDescent="0.25">
      <c r="A45" s="10">
        <v>29</v>
      </c>
      <c r="B45" s="13">
        <f t="shared" si="0"/>
        <v>-5773.2586189809572</v>
      </c>
      <c r="C45" s="13">
        <f t="shared" si="1"/>
        <v>-14226.741381136582</v>
      </c>
      <c r="D45" s="13">
        <f t="shared" si="2"/>
        <v>-20000.000000117539</v>
      </c>
      <c r="E45" s="13">
        <f>$C$3+SUM($B$17:B45)</f>
        <v>720698.64169437659</v>
      </c>
    </row>
    <row r="46" spans="1:5" ht="18" customHeight="1" x14ac:dyDescent="0.25">
      <c r="A46" s="10">
        <v>30</v>
      </c>
      <c r="B46" s="13">
        <f t="shared" si="0"/>
        <v>-5886.3182669360021</v>
      </c>
      <c r="C46" s="13">
        <f t="shared" si="1"/>
        <v>-14113.681733181538</v>
      </c>
      <c r="D46" s="13">
        <f t="shared" si="2"/>
        <v>-20000.000000117539</v>
      </c>
      <c r="E46" s="13">
        <f>$C$3+SUM($B$17:B46)</f>
        <v>714812.3234274406</v>
      </c>
    </row>
    <row r="47" spans="1:5" ht="18" customHeight="1" x14ac:dyDescent="0.25">
      <c r="A47" s="10">
        <v>31</v>
      </c>
      <c r="B47" s="13">
        <f t="shared" si="0"/>
        <v>-6001.5919996634975</v>
      </c>
      <c r="C47" s="13">
        <f t="shared" si="1"/>
        <v>-13998.408000454041</v>
      </c>
      <c r="D47" s="13">
        <f t="shared" si="2"/>
        <v>-20000.000000117539</v>
      </c>
      <c r="E47" s="13">
        <f>$C$3+SUM($B$17:B47)</f>
        <v>708810.73142777709</v>
      </c>
    </row>
    <row r="48" spans="1:5" ht="18" customHeight="1" x14ac:dyDescent="0.25">
      <c r="A48" s="10">
        <v>32</v>
      </c>
      <c r="B48" s="13">
        <f t="shared" si="0"/>
        <v>-6119.1231763235755</v>
      </c>
      <c r="C48" s="13">
        <f t="shared" si="1"/>
        <v>-13880.876823793964</v>
      </c>
      <c r="D48" s="13">
        <f t="shared" si="2"/>
        <v>-20000.000000117539</v>
      </c>
      <c r="E48" s="13">
        <f>$C$3+SUM($B$17:B48)</f>
        <v>702691.60825145349</v>
      </c>
    </row>
    <row r="49" spans="1:5" ht="18" customHeight="1" x14ac:dyDescent="0.25">
      <c r="A49" s="10">
        <v>33</v>
      </c>
      <c r="B49" s="13">
        <f t="shared" si="0"/>
        <v>-6238.9560051932449</v>
      </c>
      <c r="C49" s="13">
        <f t="shared" si="1"/>
        <v>-13761.043994924295</v>
      </c>
      <c r="D49" s="13">
        <f t="shared" si="2"/>
        <v>-20000.000000117539</v>
      </c>
      <c r="E49" s="13">
        <f>$C$3+SUM($B$17:B49)</f>
        <v>696452.65224626032</v>
      </c>
    </row>
    <row r="50" spans="1:5" ht="18" customHeight="1" x14ac:dyDescent="0.25">
      <c r="A50" s="10">
        <v>34</v>
      </c>
      <c r="B50" s="13">
        <f t="shared" si="0"/>
        <v>-6361.135560294947</v>
      </c>
      <c r="C50" s="13">
        <f t="shared" si="1"/>
        <v>-13638.864439822592</v>
      </c>
      <c r="D50" s="13">
        <f t="shared" si="2"/>
        <v>-20000.000000117539</v>
      </c>
      <c r="E50" s="13">
        <f>$C$3+SUM($B$17:B50)</f>
        <v>690091.51668596535</v>
      </c>
    </row>
    <row r="51" spans="1:5" ht="18" customHeight="1" x14ac:dyDescent="0.25">
      <c r="A51" s="10">
        <v>35</v>
      </c>
      <c r="B51" s="13">
        <f t="shared" si="0"/>
        <v>-6485.7077983507234</v>
      </c>
      <c r="C51" s="13">
        <f t="shared" si="1"/>
        <v>-13514.292201766815</v>
      </c>
      <c r="D51" s="13">
        <f t="shared" si="2"/>
        <v>-20000.000000117539</v>
      </c>
      <c r="E51" s="13">
        <f>$C$3+SUM($B$17:B51)</f>
        <v>683605.80888761464</v>
      </c>
    </row>
    <row r="52" spans="1:5" ht="18" customHeight="1" x14ac:dyDescent="0.25">
      <c r="A52" s="10">
        <v>36</v>
      </c>
      <c r="B52" s="13">
        <f t="shared" si="0"/>
        <v>-6612.7195760684235</v>
      </c>
      <c r="C52" s="13">
        <f t="shared" si="1"/>
        <v>-13387.280424049113</v>
      </c>
      <c r="D52" s="13">
        <f t="shared" si="2"/>
        <v>-20000.000000117536</v>
      </c>
      <c r="E52" s="13">
        <f>$C$3+SUM($B$17:B52)</f>
        <v>676993.08931154618</v>
      </c>
    </row>
    <row r="53" spans="1:5" ht="18" customHeight="1" x14ac:dyDescent="0.25">
      <c r="A53" s="10">
        <v>37</v>
      </c>
      <c r="B53" s="13">
        <f t="shared" si="0"/>
        <v>-6742.2186677664304</v>
      </c>
      <c r="C53" s="13">
        <f t="shared" si="1"/>
        <v>-13257.781332351109</v>
      </c>
      <c r="D53" s="13">
        <f t="shared" si="2"/>
        <v>-20000.000000117539</v>
      </c>
      <c r="E53" s="13">
        <f>$C$3+SUM($B$17:B53)</f>
        <v>670250.87064377975</v>
      </c>
    </row>
    <row r="54" spans="1:5" ht="18" customHeight="1" x14ac:dyDescent="0.25">
      <c r="A54" s="10">
        <v>38</v>
      </c>
      <c r="B54" s="13">
        <f t="shared" si="0"/>
        <v>-6874.2537833435235</v>
      </c>
      <c r="C54" s="13">
        <f t="shared" si="1"/>
        <v>-13125.746216774016</v>
      </c>
      <c r="D54" s="13">
        <f t="shared" si="2"/>
        <v>-20000.000000117539</v>
      </c>
      <c r="E54" s="13">
        <f>$C$3+SUM($B$17:B54)</f>
        <v>663376.61686043628</v>
      </c>
    </row>
    <row r="55" spans="1:5" ht="18" customHeight="1" x14ac:dyDescent="0.25">
      <c r="A55" s="10">
        <v>39</v>
      </c>
      <c r="B55" s="13">
        <f t="shared" si="0"/>
        <v>-7008.8745866006684</v>
      </c>
      <c r="C55" s="13">
        <f t="shared" si="1"/>
        <v>-12991.125413516871</v>
      </c>
      <c r="D55" s="13">
        <f t="shared" si="2"/>
        <v>-20000.000000117539</v>
      </c>
      <c r="E55" s="13">
        <f>$C$3+SUM($B$17:B55)</f>
        <v>656367.74227383558</v>
      </c>
    </row>
    <row r="56" spans="1:5" ht="18" customHeight="1" x14ac:dyDescent="0.25">
      <c r="A56" s="10">
        <v>40</v>
      </c>
      <c r="B56" s="13">
        <f t="shared" si="0"/>
        <v>-7146.1317139215962</v>
      </c>
      <c r="C56" s="13">
        <f t="shared" si="1"/>
        <v>-12853.868286195946</v>
      </c>
      <c r="D56" s="13">
        <f t="shared" si="2"/>
        <v>-20000.000000117543</v>
      </c>
      <c r="E56" s="13">
        <f>$C$3+SUM($B$17:B56)</f>
        <v>649221.61055991403</v>
      </c>
    </row>
    <row r="57" spans="1:5" ht="18" customHeight="1" x14ac:dyDescent="0.25">
      <c r="A57" s="10">
        <v>41</v>
      </c>
      <c r="B57" s="13">
        <f t="shared" si="0"/>
        <v>-7286.0767933192283</v>
      </c>
      <c r="C57" s="13">
        <f t="shared" si="1"/>
        <v>-12713.92320679831</v>
      </c>
      <c r="D57" s="13">
        <f t="shared" si="2"/>
        <v>-20000.000000117539</v>
      </c>
      <c r="E57" s="13">
        <f>$C$3+SUM($B$17:B57)</f>
        <v>641935.53376659472</v>
      </c>
    </row>
    <row r="58" spans="1:5" ht="18" customHeight="1" x14ac:dyDescent="0.25">
      <c r="A58" s="10">
        <v>42</v>
      </c>
      <c r="B58" s="13">
        <f t="shared" si="0"/>
        <v>-7428.7624638550633</v>
      </c>
      <c r="C58" s="13">
        <f t="shared" si="1"/>
        <v>-12571.237536262475</v>
      </c>
      <c r="D58" s="13">
        <f t="shared" si="2"/>
        <v>-20000.000000117539</v>
      </c>
      <c r="E58" s="13">
        <f>$C$3+SUM($B$17:B58)</f>
        <v>634506.77130273962</v>
      </c>
    </row>
    <row r="59" spans="1:5" ht="18" customHeight="1" x14ac:dyDescent="0.25">
      <c r="A59" s="10">
        <v>43</v>
      </c>
      <c r="B59" s="13">
        <f t="shared" si="0"/>
        <v>-7574.2423954388914</v>
      </c>
      <c r="C59" s="13">
        <f t="shared" si="1"/>
        <v>-12425.757604678649</v>
      </c>
      <c r="D59" s="13">
        <f t="shared" si="2"/>
        <v>-20000.000000117539</v>
      </c>
      <c r="E59" s="13">
        <f>$C$3+SUM($B$17:B59)</f>
        <v>626932.52890730079</v>
      </c>
    </row>
    <row r="60" spans="1:5" ht="18" customHeight="1" x14ac:dyDescent="0.25">
      <c r="A60" s="10">
        <v>44</v>
      </c>
      <c r="B60" s="13">
        <f t="shared" si="0"/>
        <v>-7722.5713090162371</v>
      </c>
      <c r="C60" s="13">
        <f t="shared" si="1"/>
        <v>-12277.428691101304</v>
      </c>
      <c r="D60" s="13">
        <f t="shared" si="2"/>
        <v>-20000.000000117543</v>
      </c>
      <c r="E60" s="13">
        <f>$C$3+SUM($B$17:B60)</f>
        <v>619209.95759828459</v>
      </c>
    </row>
    <row r="61" spans="1:5" ht="18" customHeight="1" x14ac:dyDescent="0.25">
      <c r="A61" s="10">
        <v>45</v>
      </c>
      <c r="B61" s="13">
        <f t="shared" si="0"/>
        <v>-7873.8049971511364</v>
      </c>
      <c r="C61" s="13">
        <f t="shared" si="1"/>
        <v>-12126.195002966402</v>
      </c>
      <c r="D61" s="13">
        <f t="shared" si="2"/>
        <v>-20000.000000117539</v>
      </c>
      <c r="E61" s="13">
        <f>$C$3+SUM($B$17:B61)</f>
        <v>611336.15260113345</v>
      </c>
    </row>
    <row r="62" spans="1:5" ht="18" customHeight="1" x14ac:dyDescent="0.25">
      <c r="A62" s="10">
        <v>46</v>
      </c>
      <c r="B62" s="13">
        <f t="shared" si="0"/>
        <v>-8028.0003450120139</v>
      </c>
      <c r="C62" s="13">
        <f t="shared" si="1"/>
        <v>-11971.999655105526</v>
      </c>
      <c r="D62" s="13">
        <f t="shared" si="2"/>
        <v>-20000.000000117539</v>
      </c>
      <c r="E62" s="13">
        <f>$C$3+SUM($B$17:B62)</f>
        <v>603308.15225612139</v>
      </c>
    </row>
    <row r="63" spans="1:5" ht="18" customHeight="1" x14ac:dyDescent="0.25">
      <c r="A63" s="10">
        <v>47</v>
      </c>
      <c r="B63" s="13">
        <f t="shared" si="0"/>
        <v>-8185.2153517684983</v>
      </c>
      <c r="C63" s="13">
        <f t="shared" si="1"/>
        <v>-11814.784648349041</v>
      </c>
      <c r="D63" s="13">
        <f t="shared" si="2"/>
        <v>-20000.000000117539</v>
      </c>
      <c r="E63" s="13">
        <f>$C$3+SUM($B$17:B63)</f>
        <v>595122.93690435286</v>
      </c>
    </row>
    <row r="64" spans="1:5" ht="18" customHeight="1" x14ac:dyDescent="0.25">
      <c r="A64" s="10">
        <v>48</v>
      </c>
      <c r="B64" s="13">
        <f t="shared" si="0"/>
        <v>-8345.5091524072977</v>
      </c>
      <c r="C64" s="13">
        <f t="shared" si="1"/>
        <v>-11654.49084771024</v>
      </c>
      <c r="D64" s="13">
        <f t="shared" si="2"/>
        <v>-20000.000000117536</v>
      </c>
      <c r="E64" s="13">
        <f>$C$3+SUM($B$17:B64)</f>
        <v>586777.42775194556</v>
      </c>
    </row>
    <row r="65" spans="1:5" ht="18" customHeight="1" x14ac:dyDescent="0.25">
      <c r="A65" s="10">
        <v>49</v>
      </c>
      <c r="B65" s="13">
        <f t="shared" si="0"/>
        <v>-8508.9420399752744</v>
      </c>
      <c r="C65" s="13">
        <f t="shared" si="1"/>
        <v>-11491.057960142265</v>
      </c>
      <c r="D65" s="13">
        <f t="shared" si="2"/>
        <v>-20000.000000117539</v>
      </c>
      <c r="E65" s="13">
        <f>$C$3+SUM($B$17:B65)</f>
        <v>578268.48571197037</v>
      </c>
    </row>
    <row r="66" spans="1:5" ht="18" customHeight="1" x14ac:dyDescent="0.25">
      <c r="A66" s="10">
        <v>50</v>
      </c>
      <c r="B66" s="13">
        <f t="shared" si="0"/>
        <v>-8675.5754882581241</v>
      </c>
      <c r="C66" s="13">
        <f t="shared" si="1"/>
        <v>-11324.424511859414</v>
      </c>
      <c r="D66" s="13">
        <f t="shared" si="2"/>
        <v>-20000.000000117536</v>
      </c>
      <c r="E66" s="13">
        <f>$C$3+SUM($B$17:B66)</f>
        <v>569592.91022371221</v>
      </c>
    </row>
    <row r="67" spans="1:5" ht="18" customHeight="1" x14ac:dyDescent="0.25">
      <c r="A67" s="10">
        <v>51</v>
      </c>
      <c r="B67" s="13">
        <f t="shared" si="0"/>
        <v>-8845.4721749031796</v>
      </c>
      <c r="C67" s="13">
        <f t="shared" si="1"/>
        <v>-11154.527825214358</v>
      </c>
      <c r="D67" s="13">
        <f t="shared" si="2"/>
        <v>-20000.000000117536</v>
      </c>
      <c r="E67" s="13">
        <f>$C$3+SUM($B$17:B67)</f>
        <v>560747.43804880907</v>
      </c>
    </row>
    <row r="68" spans="1:5" ht="18" customHeight="1" x14ac:dyDescent="0.25">
      <c r="A68" s="10">
        <v>52</v>
      </c>
      <c r="B68" s="13">
        <f t="shared" si="0"/>
        <v>-9018.6960049950339</v>
      </c>
      <c r="C68" s="13">
        <f t="shared" si="1"/>
        <v>-10981.303995122507</v>
      </c>
      <c r="D68" s="13">
        <f t="shared" si="2"/>
        <v>-20000.000000117543</v>
      </c>
      <c r="E68" s="13">
        <f>$C$3+SUM($B$17:B68)</f>
        <v>551728.74204381392</v>
      </c>
    </row>
    <row r="69" spans="1:5" ht="18" customHeight="1" x14ac:dyDescent="0.25">
      <c r="A69" s="10">
        <v>53</v>
      </c>
      <c r="B69" s="13">
        <f t="shared" si="0"/>
        <v>-9195.3121350928523</v>
      </c>
      <c r="C69" s="13">
        <f t="shared" si="1"/>
        <v>-10804.687865024685</v>
      </c>
      <c r="D69" s="13">
        <f t="shared" si="2"/>
        <v>-20000.000000117536</v>
      </c>
      <c r="E69" s="13">
        <f>$C$3+SUM($B$17:B69)</f>
        <v>542533.42990872113</v>
      </c>
    </row>
    <row r="70" spans="1:5" ht="18" customHeight="1" x14ac:dyDescent="0.25">
      <c r="A70" s="10">
        <v>54</v>
      </c>
      <c r="B70" s="13">
        <f t="shared" si="0"/>
        <v>-9375.3869977384202</v>
      </c>
      <c r="C70" s="13">
        <f t="shared" si="1"/>
        <v>-10624.613002379119</v>
      </c>
      <c r="D70" s="13">
        <f t="shared" si="2"/>
        <v>-20000.000000117539</v>
      </c>
      <c r="E70" s="13">
        <f>$C$3+SUM($B$17:B70)</f>
        <v>533158.04291098262</v>
      </c>
    </row>
    <row r="71" spans="1:5" ht="18" customHeight="1" x14ac:dyDescent="0.25">
      <c r="A71" s="10">
        <v>55</v>
      </c>
      <c r="B71" s="13">
        <f t="shared" si="0"/>
        <v>-9558.9883264441323</v>
      </c>
      <c r="C71" s="13">
        <f t="shared" si="1"/>
        <v>-10441.011673673409</v>
      </c>
      <c r="D71" s="13">
        <f t="shared" si="2"/>
        <v>-20000.000000117543</v>
      </c>
      <c r="E71" s="13">
        <f>$C$3+SUM($B$17:B71)</f>
        <v>523599.05458453856</v>
      </c>
    </row>
    <row r="72" spans="1:5" ht="18" customHeight="1" x14ac:dyDescent="0.25">
      <c r="A72" s="10">
        <v>56</v>
      </c>
      <c r="B72" s="13">
        <f t="shared" si="0"/>
        <v>-9746.1851811703291</v>
      </c>
      <c r="C72" s="13">
        <f t="shared" si="1"/>
        <v>-10253.814818947212</v>
      </c>
      <c r="D72" s="13">
        <f t="shared" si="2"/>
        <v>-20000.000000117543</v>
      </c>
      <c r="E72" s="13">
        <f>$C$3+SUM($B$17:B72)</f>
        <v>513852.86940336821</v>
      </c>
    </row>
    <row r="73" spans="1:5" ht="18" customHeight="1" x14ac:dyDescent="0.25">
      <c r="A73" s="10">
        <v>57</v>
      </c>
      <c r="B73" s="13">
        <f t="shared" si="0"/>
        <v>-9937.0479743015803</v>
      </c>
      <c r="C73" s="13">
        <f t="shared" si="1"/>
        <v>-10062.952025815957</v>
      </c>
      <c r="D73" s="13">
        <f t="shared" si="2"/>
        <v>-20000.000000117536</v>
      </c>
      <c r="E73" s="13">
        <f>$C$3+SUM($B$17:B73)</f>
        <v>503915.82142906665</v>
      </c>
    </row>
    <row r="74" spans="1:5" ht="18" customHeight="1" x14ac:dyDescent="0.25">
      <c r="A74" s="10">
        <v>58</v>
      </c>
      <c r="B74" s="13">
        <f t="shared" si="0"/>
        <v>-10131.648497131653</v>
      </c>
      <c r="C74" s="13">
        <f t="shared" si="1"/>
        <v>-9868.3515029858845</v>
      </c>
      <c r="D74" s="13">
        <f t="shared" si="2"/>
        <v>-20000.000000117536</v>
      </c>
      <c r="E74" s="13">
        <f>$C$3+SUM($B$17:B74)</f>
        <v>493784.172931935</v>
      </c>
    </row>
    <row r="75" spans="1:5" ht="18" customHeight="1" x14ac:dyDescent="0.25">
      <c r="A75" s="10">
        <v>59</v>
      </c>
      <c r="B75" s="13">
        <f t="shared" si="0"/>
        <v>-10330.05994686715</v>
      </c>
      <c r="C75" s="13">
        <f t="shared" si="1"/>
        <v>-9669.9400532503896</v>
      </c>
      <c r="D75" s="13">
        <f t="shared" si="2"/>
        <v>-20000.000000117539</v>
      </c>
      <c r="E75" s="13">
        <f>$C$3+SUM($B$17:B75)</f>
        <v>483454.11298506783</v>
      </c>
    </row>
    <row r="76" spans="1:5" ht="18" customHeight="1" x14ac:dyDescent="0.25">
      <c r="A76" s="10">
        <v>60</v>
      </c>
      <c r="B76" s="13">
        <f t="shared" si="0"/>
        <v>-10532.356954159963</v>
      </c>
      <c r="C76" s="13">
        <f t="shared" si="1"/>
        <v>-9467.6430459575768</v>
      </c>
      <c r="D76" s="13">
        <f t="shared" si="2"/>
        <v>-20000.000000117539</v>
      </c>
      <c r="E76" s="13">
        <f>$C$3+SUM($B$17:B76)</f>
        <v>472921.75603090785</v>
      </c>
    </row>
    <row r="77" spans="1:5" ht="18" customHeight="1" x14ac:dyDescent="0.25">
      <c r="A77" s="10">
        <v>61</v>
      </c>
      <c r="B77" s="13">
        <f t="shared" si="0"/>
        <v>-10738.615611178931</v>
      </c>
      <c r="C77" s="13">
        <f t="shared" si="1"/>
        <v>-9261.3843889386117</v>
      </c>
      <c r="D77" s="13">
        <f t="shared" si="2"/>
        <v>-20000.000000117543</v>
      </c>
      <c r="E77" s="13">
        <f>$C$3+SUM($B$17:B77)</f>
        <v>462183.14041972894</v>
      </c>
    </row>
    <row r="78" spans="1:5" ht="18" customHeight="1" x14ac:dyDescent="0.25">
      <c r="A78" s="10">
        <v>62</v>
      </c>
      <c r="B78" s="13">
        <f t="shared" si="0"/>
        <v>-10948.913500231185</v>
      </c>
      <c r="C78" s="13">
        <f t="shared" si="1"/>
        <v>-9051.0864998863581</v>
      </c>
      <c r="D78" s="13">
        <f t="shared" si="2"/>
        <v>-20000.000000117543</v>
      </c>
      <c r="E78" s="13">
        <f>$C$3+SUM($B$17:B78)</f>
        <v>451234.22691949777</v>
      </c>
    </row>
    <row r="79" spans="1:5" ht="18" customHeight="1" x14ac:dyDescent="0.25">
      <c r="A79" s="10">
        <v>63</v>
      </c>
      <c r="B79" s="13">
        <f t="shared" si="0"/>
        <v>-11163.329722944047</v>
      </c>
      <c r="C79" s="13">
        <f t="shared" si="1"/>
        <v>-8836.6702771734963</v>
      </c>
      <c r="D79" s="13">
        <f t="shared" si="2"/>
        <v>-20000.000000117543</v>
      </c>
      <c r="E79" s="13">
        <f>$C$3+SUM($B$17:B79)</f>
        <v>440070.89719655371</v>
      </c>
    </row>
    <row r="80" spans="1:5" ht="18" customHeight="1" x14ac:dyDescent="0.25">
      <c r="A80" s="10">
        <v>64</v>
      </c>
      <c r="B80" s="13">
        <f t="shared" si="0"/>
        <v>-11381.944930018364</v>
      </c>
      <c r="C80" s="13">
        <f t="shared" si="1"/>
        <v>-8618.0550700991753</v>
      </c>
      <c r="D80" s="13">
        <f t="shared" si="2"/>
        <v>-20000.000000117539</v>
      </c>
      <c r="E80" s="13">
        <f>$C$3+SUM($B$17:B80)</f>
        <v>428688.95226653531</v>
      </c>
    </row>
    <row r="81" spans="1:5" ht="18" customHeight="1" x14ac:dyDescent="0.25">
      <c r="A81" s="10">
        <v>65</v>
      </c>
      <c r="B81" s="13">
        <f t="shared" si="0"/>
        <v>-11604.841351564559</v>
      </c>
      <c r="C81" s="13">
        <f t="shared" si="1"/>
        <v>-8395.1586485529806</v>
      </c>
      <c r="D81" s="13">
        <f t="shared" si="2"/>
        <v>-20000.000000117539</v>
      </c>
      <c r="E81" s="13">
        <f>$C$3+SUM($B$17:B81)</f>
        <v>417084.11091497075</v>
      </c>
    </row>
    <row r="82" spans="1:5" ht="18" customHeight="1" x14ac:dyDescent="0.25">
      <c r="A82" s="10">
        <v>66</v>
      </c>
      <c r="B82" s="13">
        <f t="shared" ref="B82:B116" si="3">PPMT($C$5/12,A82,$C$7,$C$3,0,0)</f>
        <v>-11832.102828032699</v>
      </c>
      <c r="C82" s="13">
        <f t="shared" ref="C82:C116" si="4">IPMT($C$5/12,A82,$C$7,$C$3,0,0)</f>
        <v>-8167.8971720848431</v>
      </c>
      <c r="D82" s="13">
        <f t="shared" ref="D82:D116" si="5">B82+C82</f>
        <v>-20000.000000117543</v>
      </c>
      <c r="E82" s="13">
        <f>$C$3+SUM($B$17:B82)</f>
        <v>405252.00808693806</v>
      </c>
    </row>
    <row r="83" spans="1:5" ht="18" customHeight="1" x14ac:dyDescent="0.25">
      <c r="A83" s="10">
        <v>67</v>
      </c>
      <c r="B83" s="13">
        <f t="shared" si="3"/>
        <v>-12063.814841748339</v>
      </c>
      <c r="C83" s="13">
        <f t="shared" si="4"/>
        <v>-7936.1851583692014</v>
      </c>
      <c r="D83" s="13">
        <f t="shared" si="5"/>
        <v>-20000.000000117539</v>
      </c>
      <c r="E83" s="13">
        <f>$C$3+SUM($B$17:B83)</f>
        <v>393188.19324518973</v>
      </c>
    </row>
    <row r="84" spans="1:5" ht="18" customHeight="1" x14ac:dyDescent="0.25">
      <c r="A84" s="10">
        <v>68</v>
      </c>
      <c r="B84" s="13">
        <f t="shared" si="3"/>
        <v>-12300.06454906591</v>
      </c>
      <c r="C84" s="13">
        <f t="shared" si="4"/>
        <v>-7699.9354510516305</v>
      </c>
      <c r="D84" s="13">
        <f t="shared" si="5"/>
        <v>-20000.000000117539</v>
      </c>
      <c r="E84" s="13">
        <f>$C$3+SUM($B$17:B84)</f>
        <v>380888.12869612384</v>
      </c>
    </row>
    <row r="85" spans="1:5" ht="18" customHeight="1" x14ac:dyDescent="0.25">
      <c r="A85" s="10">
        <v>69</v>
      </c>
      <c r="B85" s="13">
        <f t="shared" si="3"/>
        <v>-12540.940813151785</v>
      </c>
      <c r="C85" s="13">
        <f t="shared" si="4"/>
        <v>-7459.0591869657565</v>
      </c>
      <c r="D85" s="13">
        <f t="shared" si="5"/>
        <v>-20000.000000117543</v>
      </c>
      <c r="E85" s="13">
        <f>$C$3+SUM($B$17:B85)</f>
        <v>368347.18788297207</v>
      </c>
    </row>
    <row r="86" spans="1:5" ht="18" customHeight="1" x14ac:dyDescent="0.25">
      <c r="A86" s="10">
        <v>70</v>
      </c>
      <c r="B86" s="13">
        <f t="shared" si="3"/>
        <v>-12786.53423740934</v>
      </c>
      <c r="C86" s="13">
        <f t="shared" si="4"/>
        <v>-7213.4657627081997</v>
      </c>
      <c r="D86" s="13">
        <f t="shared" si="5"/>
        <v>-20000.000000117539</v>
      </c>
      <c r="E86" s="13">
        <f>$C$3+SUM($B$17:B86)</f>
        <v>355560.65364556271</v>
      </c>
    </row>
    <row r="87" spans="1:5" ht="18" customHeight="1" x14ac:dyDescent="0.25">
      <c r="A87" s="10">
        <v>71</v>
      </c>
      <c r="B87" s="13">
        <f t="shared" si="3"/>
        <v>-13036.937199558606</v>
      </c>
      <c r="C87" s="13">
        <f t="shared" si="4"/>
        <v>-6963.0628005589342</v>
      </c>
      <c r="D87" s="13">
        <f t="shared" si="5"/>
        <v>-20000.000000117539</v>
      </c>
      <c r="E87" s="13">
        <f>$C$3+SUM($B$17:B87)</f>
        <v>342523.71644600411</v>
      </c>
    </row>
    <row r="88" spans="1:5" ht="18" customHeight="1" x14ac:dyDescent="0.25">
      <c r="A88" s="10">
        <v>72</v>
      </c>
      <c r="B88" s="13">
        <f t="shared" si="3"/>
        <v>-13292.243886383296</v>
      </c>
      <c r="C88" s="13">
        <f t="shared" si="4"/>
        <v>-6707.7561137342454</v>
      </c>
      <c r="D88" s="13">
        <f t="shared" si="5"/>
        <v>-20000.000000117543</v>
      </c>
      <c r="E88" s="13">
        <f>$C$3+SUM($B$17:B88)</f>
        <v>329231.4725596208</v>
      </c>
    </row>
    <row r="89" spans="1:5" ht="18" customHeight="1" x14ac:dyDescent="0.25">
      <c r="A89" s="10">
        <v>73</v>
      </c>
      <c r="B89" s="13">
        <f t="shared" si="3"/>
        <v>-13552.550329158301</v>
      </c>
      <c r="C89" s="13">
        <f t="shared" si="4"/>
        <v>-6447.4496709592386</v>
      </c>
      <c r="D89" s="13">
        <f t="shared" si="5"/>
        <v>-20000.000000117539</v>
      </c>
      <c r="E89" s="13">
        <f>$C$3+SUM($B$17:B89)</f>
        <v>315678.92223046254</v>
      </c>
    </row>
    <row r="90" spans="1:5" ht="18" customHeight="1" x14ac:dyDescent="0.25">
      <c r="A90" s="10">
        <v>74</v>
      </c>
      <c r="B90" s="13">
        <f t="shared" si="3"/>
        <v>-13817.954439770985</v>
      </c>
      <c r="C90" s="13">
        <f t="shared" si="4"/>
        <v>-6182.0455603465543</v>
      </c>
      <c r="D90" s="13">
        <f t="shared" si="5"/>
        <v>-20000.000000117539</v>
      </c>
      <c r="E90" s="13">
        <f>$C$3+SUM($B$17:B90)</f>
        <v>301860.96779069153</v>
      </c>
    </row>
    <row r="91" spans="1:5" ht="18" customHeight="1" x14ac:dyDescent="0.25">
      <c r="A91" s="10">
        <v>75</v>
      </c>
      <c r="B91" s="13">
        <f t="shared" si="3"/>
        <v>-14088.556047549833</v>
      </c>
      <c r="C91" s="13">
        <f t="shared" si="4"/>
        <v>-5911.4439525677062</v>
      </c>
      <c r="D91" s="13">
        <f t="shared" si="5"/>
        <v>-20000.000000117539</v>
      </c>
      <c r="E91" s="13">
        <f>$C$3+SUM($B$17:B91)</f>
        <v>287772.41174314171</v>
      </c>
    </row>
    <row r="92" spans="1:5" ht="18" customHeight="1" x14ac:dyDescent="0.25">
      <c r="A92" s="10">
        <v>76</v>
      </c>
      <c r="B92" s="13">
        <f t="shared" si="3"/>
        <v>-14364.456936814353</v>
      </c>
      <c r="C92" s="13">
        <f t="shared" si="4"/>
        <v>-5635.5430633031892</v>
      </c>
      <c r="D92" s="13">
        <f t="shared" si="5"/>
        <v>-20000.000000117543</v>
      </c>
      <c r="E92" s="13">
        <f>$C$3+SUM($B$17:B92)</f>
        <v>273407.95480632735</v>
      </c>
    </row>
    <row r="93" spans="1:5" ht="18" customHeight="1" x14ac:dyDescent="0.25">
      <c r="A93" s="10">
        <v>77</v>
      </c>
      <c r="B93" s="13">
        <f t="shared" si="3"/>
        <v>-14645.760885160298</v>
      </c>
      <c r="C93" s="13">
        <f t="shared" si="4"/>
        <v>-5354.2391149572413</v>
      </c>
      <c r="D93" s="13">
        <f t="shared" si="5"/>
        <v>-20000.000000117539</v>
      </c>
      <c r="E93" s="13">
        <f>$C$3+SUM($B$17:B93)</f>
        <v>258762.19392116705</v>
      </c>
    </row>
    <row r="94" spans="1:5" ht="18" customHeight="1" x14ac:dyDescent="0.25">
      <c r="A94" s="10">
        <v>78</v>
      </c>
      <c r="B94" s="13">
        <f t="shared" si="3"/>
        <v>-14932.57370249469</v>
      </c>
      <c r="C94" s="13">
        <f t="shared" si="4"/>
        <v>-5067.426297622852</v>
      </c>
      <c r="D94" s="13">
        <f t="shared" si="5"/>
        <v>-20000.000000117543</v>
      </c>
      <c r="E94" s="13">
        <f>$C$3+SUM($B$17:B94)</f>
        <v>243829.62021867232</v>
      </c>
    </row>
    <row r="95" spans="1:5" ht="18" customHeight="1" x14ac:dyDescent="0.25">
      <c r="A95" s="10">
        <v>79</v>
      </c>
      <c r="B95" s="13">
        <f t="shared" si="3"/>
        <v>-15225.00327083521</v>
      </c>
      <c r="C95" s="13">
        <f t="shared" si="4"/>
        <v>-4774.9967292823312</v>
      </c>
      <c r="D95" s="13">
        <f t="shared" si="5"/>
        <v>-20000.000000117543</v>
      </c>
      <c r="E95" s="13">
        <f>$C$3+SUM($B$17:B95)</f>
        <v>228604.61694783706</v>
      </c>
    </row>
    <row r="96" spans="1:5" ht="18" customHeight="1" x14ac:dyDescent="0.25">
      <c r="A96" s="10">
        <v>80</v>
      </c>
      <c r="B96" s="13">
        <f t="shared" si="3"/>
        <v>-15523.159584889067</v>
      </c>
      <c r="C96" s="13">
        <f t="shared" si="4"/>
        <v>-4476.8404152284738</v>
      </c>
      <c r="D96" s="13">
        <f t="shared" si="5"/>
        <v>-20000.000000117539</v>
      </c>
      <c r="E96" s="13">
        <f>$C$3+SUM($B$17:B96)</f>
        <v>213081.45736294799</v>
      </c>
    </row>
    <row r="97" spans="1:5" ht="18" customHeight="1" x14ac:dyDescent="0.25">
      <c r="A97" s="10">
        <v>81</v>
      </c>
      <c r="B97" s="13">
        <f t="shared" si="3"/>
        <v>-15827.154793426474</v>
      </c>
      <c r="C97" s="13">
        <f t="shared" si="4"/>
        <v>-4172.845206691064</v>
      </c>
      <c r="D97" s="13">
        <f t="shared" si="5"/>
        <v>-20000.000000117539</v>
      </c>
      <c r="E97" s="13">
        <f>$C$3+SUM($B$17:B97)</f>
        <v>197254.30256952147</v>
      </c>
    </row>
    <row r="98" spans="1:5" ht="18" customHeight="1" x14ac:dyDescent="0.25">
      <c r="A98" s="10">
        <v>82</v>
      </c>
      <c r="B98" s="13">
        <f t="shared" si="3"/>
        <v>-16137.103241464409</v>
      </c>
      <c r="C98" s="13">
        <f t="shared" si="4"/>
        <v>-3862.8967586531285</v>
      </c>
      <c r="D98" s="13">
        <f t="shared" si="5"/>
        <v>-20000.000000117536</v>
      </c>
      <c r="E98" s="13">
        <f>$C$3+SUM($B$17:B98)</f>
        <v>181117.19932805712</v>
      </c>
    </row>
    <row r="99" spans="1:5" ht="18" customHeight="1" x14ac:dyDescent="0.25">
      <c r="A99" s="10">
        <v>83</v>
      </c>
      <c r="B99" s="13">
        <f t="shared" si="3"/>
        <v>-16453.121513276423</v>
      </c>
      <c r="C99" s="13">
        <f t="shared" si="4"/>
        <v>-3546.8784868411176</v>
      </c>
      <c r="D99" s="13">
        <f t="shared" si="5"/>
        <v>-20000.000000117539</v>
      </c>
      <c r="E99" s="13">
        <f>$C$3+SUM($B$17:B99)</f>
        <v>164664.07781478064</v>
      </c>
    </row>
    <row r="100" spans="1:5" ht="18" customHeight="1" x14ac:dyDescent="0.25">
      <c r="A100" s="10">
        <v>84</v>
      </c>
      <c r="B100" s="13">
        <f t="shared" si="3"/>
        <v>-16775.328476244751</v>
      </c>
      <c r="C100" s="13">
        <f t="shared" si="4"/>
        <v>-3224.671523872787</v>
      </c>
      <c r="D100" s="13">
        <f t="shared" si="5"/>
        <v>-20000.000000117539</v>
      </c>
      <c r="E100" s="13">
        <f>$C$3+SUM($B$17:B100)</f>
        <v>147888.74933853594</v>
      </c>
    </row>
    <row r="101" spans="1:5" ht="18" customHeight="1" x14ac:dyDescent="0.25">
      <c r="A101" s="10">
        <v>85</v>
      </c>
      <c r="B101" s="13">
        <f t="shared" si="3"/>
        <v>-17103.845325571212</v>
      </c>
      <c r="C101" s="13">
        <f t="shared" si="4"/>
        <v>-2896.1546745463279</v>
      </c>
      <c r="D101" s="13">
        <f t="shared" si="5"/>
        <v>-20000.000000117539</v>
      </c>
      <c r="E101" s="13">
        <f>$C$3+SUM($B$17:B101)</f>
        <v>130784.90401296469</v>
      </c>
    </row>
    <row r="102" spans="1:5" ht="18" customHeight="1" x14ac:dyDescent="0.25">
      <c r="A102" s="10">
        <v>86</v>
      </c>
      <c r="B102" s="13">
        <f t="shared" si="3"/>
        <v>-17438.795629863649</v>
      </c>
      <c r="C102" s="13">
        <f t="shared" si="4"/>
        <v>-2561.2043702538917</v>
      </c>
      <c r="D102" s="13">
        <f t="shared" si="5"/>
        <v>-20000.000000117539</v>
      </c>
      <c r="E102" s="13">
        <f>$C$3+SUM($B$17:B102)</f>
        <v>113346.10838310106</v>
      </c>
    </row>
    <row r="103" spans="1:5" ht="18" customHeight="1" x14ac:dyDescent="0.25">
      <c r="A103" s="10">
        <v>87</v>
      </c>
      <c r="B103" s="13">
        <f t="shared" si="3"/>
        <v>-17780.305377615143</v>
      </c>
      <c r="C103" s="13">
        <f t="shared" si="4"/>
        <v>-2219.6946225023953</v>
      </c>
      <c r="D103" s="13">
        <f t="shared" si="5"/>
        <v>-20000.000000117539</v>
      </c>
      <c r="E103" s="13">
        <f>$C$3+SUM($B$17:B103)</f>
        <v>95565.803005485912</v>
      </c>
    </row>
    <row r="104" spans="1:5" ht="18" customHeight="1" x14ac:dyDescent="0.25">
      <c r="A104" s="10">
        <v>88</v>
      </c>
      <c r="B104" s="13">
        <f t="shared" si="3"/>
        <v>-18128.503024593439</v>
      </c>
      <c r="C104" s="13">
        <f t="shared" si="4"/>
        <v>-1871.4969755240986</v>
      </c>
      <c r="D104" s="13">
        <f t="shared" si="5"/>
        <v>-20000.000000117539</v>
      </c>
      <c r="E104" s="13">
        <f>$C$3+SUM($B$17:B104)</f>
        <v>77437.299980892451</v>
      </c>
    </row>
    <row r="105" spans="1:5" ht="18" customHeight="1" x14ac:dyDescent="0.25">
      <c r="A105" s="10">
        <v>89</v>
      </c>
      <c r="B105" s="13">
        <f t="shared" si="3"/>
        <v>-18483.519542158396</v>
      </c>
      <c r="C105" s="13">
        <f t="shared" si="4"/>
        <v>-1516.4804579591437</v>
      </c>
      <c r="D105" s="13">
        <f t="shared" si="5"/>
        <v>-20000.000000117539</v>
      </c>
      <c r="E105" s="13">
        <f>$C$3+SUM($B$17:B105)</f>
        <v>58953.780438734102</v>
      </c>
    </row>
    <row r="106" spans="1:5" ht="18" customHeight="1" x14ac:dyDescent="0.25">
      <c r="A106" s="10">
        <v>90</v>
      </c>
      <c r="B106" s="13">
        <f t="shared" si="3"/>
        <v>-18845.488466525665</v>
      </c>
      <c r="C106" s="13">
        <f t="shared" si="4"/>
        <v>-1154.5115335918751</v>
      </c>
      <c r="D106" s="13">
        <f t="shared" si="5"/>
        <v>-20000.000000117539</v>
      </c>
      <c r="E106" s="13">
        <f>$C$3+SUM($B$17:B106)</f>
        <v>40108.291972208419</v>
      </c>
    </row>
    <row r="107" spans="1:5" ht="18" customHeight="1" x14ac:dyDescent="0.25">
      <c r="A107" s="10">
        <v>91</v>
      </c>
      <c r="B107" s="13">
        <f t="shared" si="3"/>
        <v>-19214.545948995124</v>
      </c>
      <c r="C107" s="13">
        <f t="shared" si="4"/>
        <v>-785.45405112241417</v>
      </c>
      <c r="D107" s="13">
        <f t="shared" si="5"/>
        <v>-20000.000000117539</v>
      </c>
      <c r="E107" s="13">
        <f>$C$3+SUM($B$17:B107)</f>
        <v>20893.746023213258</v>
      </c>
    </row>
    <row r="108" spans="1:5" ht="18" customHeight="1" x14ac:dyDescent="0.25">
      <c r="A108" s="10">
        <v>92</v>
      </c>
      <c r="B108" s="13">
        <f t="shared" si="3"/>
        <v>-19590.830807162947</v>
      </c>
      <c r="C108" s="13">
        <f t="shared" si="4"/>
        <v>-409.16919295459297</v>
      </c>
      <c r="D108" s="13">
        <f t="shared" si="5"/>
        <v>-20000.000000117539</v>
      </c>
      <c r="E108" s="13">
        <f>$C$3+SUM($B$17:B108)</f>
        <v>1302.9152160503436</v>
      </c>
    </row>
    <row r="109" spans="1:5" ht="18" customHeight="1" x14ac:dyDescent="0.25">
      <c r="A109" s="10">
        <v>93</v>
      </c>
      <c r="B109" s="13">
        <f t="shared" si="3"/>
        <v>-19974.484577136554</v>
      </c>
      <c r="C109" s="13">
        <f t="shared" si="4"/>
        <v>-25.51542298098531</v>
      </c>
      <c r="D109" s="13">
        <f t="shared" si="5"/>
        <v>-20000.000000117539</v>
      </c>
      <c r="E109" s="13">
        <f>$C$3+SUM($B$17:B109)</f>
        <v>-18671.569361086236</v>
      </c>
    </row>
    <row r="110" spans="1:5" ht="18" customHeight="1" x14ac:dyDescent="0.25">
      <c r="A110" s="10">
        <v>94</v>
      </c>
      <c r="B110" s="13" t="e">
        <f t="shared" si="3"/>
        <v>#NUM!</v>
      </c>
      <c r="C110" s="13" t="e">
        <f t="shared" si="4"/>
        <v>#NUM!</v>
      </c>
      <c r="D110" s="13" t="e">
        <f t="shared" si="5"/>
        <v>#NUM!</v>
      </c>
      <c r="E110" s="13" t="e">
        <f>$C$3+SUM($B$17:B110)</f>
        <v>#NUM!</v>
      </c>
    </row>
    <row r="111" spans="1:5" ht="18" customHeight="1" x14ac:dyDescent="0.25">
      <c r="A111" s="10">
        <v>95</v>
      </c>
      <c r="B111" s="13" t="e">
        <f t="shared" si="3"/>
        <v>#NUM!</v>
      </c>
      <c r="C111" s="13" t="e">
        <f t="shared" si="4"/>
        <v>#NUM!</v>
      </c>
      <c r="D111" s="13" t="e">
        <f t="shared" si="5"/>
        <v>#NUM!</v>
      </c>
      <c r="E111" s="13" t="e">
        <f>$C$3+SUM($B$17:B111)</f>
        <v>#NUM!</v>
      </c>
    </row>
    <row r="112" spans="1:5" ht="18" customHeight="1" x14ac:dyDescent="0.25">
      <c r="A112" s="10">
        <v>96</v>
      </c>
      <c r="B112" s="13" t="e">
        <f t="shared" si="3"/>
        <v>#NUM!</v>
      </c>
      <c r="C112" s="13" t="e">
        <f t="shared" si="4"/>
        <v>#NUM!</v>
      </c>
      <c r="D112" s="13" t="e">
        <f t="shared" si="5"/>
        <v>#NUM!</v>
      </c>
      <c r="E112" s="13" t="e">
        <f>$C$3+SUM($B$17:B112)</f>
        <v>#NUM!</v>
      </c>
    </row>
    <row r="113" spans="1:5" ht="18" customHeight="1" x14ac:dyDescent="0.25">
      <c r="A113" s="10">
        <v>97</v>
      </c>
      <c r="B113" s="13" t="e">
        <f t="shared" si="3"/>
        <v>#NUM!</v>
      </c>
      <c r="C113" s="13" t="e">
        <f t="shared" si="4"/>
        <v>#NUM!</v>
      </c>
      <c r="D113" s="13" t="e">
        <f t="shared" si="5"/>
        <v>#NUM!</v>
      </c>
      <c r="E113" s="13" t="e">
        <f>$C$3+SUM($B$17:B113)</f>
        <v>#NUM!</v>
      </c>
    </row>
    <row r="114" spans="1:5" ht="18" customHeight="1" x14ac:dyDescent="0.25">
      <c r="A114" s="10">
        <v>98</v>
      </c>
      <c r="B114" s="13" t="e">
        <f t="shared" si="3"/>
        <v>#NUM!</v>
      </c>
      <c r="C114" s="13" t="e">
        <f t="shared" si="4"/>
        <v>#NUM!</v>
      </c>
      <c r="D114" s="13" t="e">
        <f t="shared" si="5"/>
        <v>#NUM!</v>
      </c>
      <c r="E114" s="13" t="e">
        <f>$C$3+SUM($B$17:B114)</f>
        <v>#NUM!</v>
      </c>
    </row>
    <row r="115" spans="1:5" ht="18" customHeight="1" x14ac:dyDescent="0.25">
      <c r="A115" s="10">
        <v>99</v>
      </c>
      <c r="B115" s="13" t="e">
        <f t="shared" si="3"/>
        <v>#NUM!</v>
      </c>
      <c r="C115" s="13" t="e">
        <f t="shared" si="4"/>
        <v>#NUM!</v>
      </c>
      <c r="D115" s="13" t="e">
        <f t="shared" si="5"/>
        <v>#NUM!</v>
      </c>
      <c r="E115" s="13" t="e">
        <f>$C$3+SUM($B$17:B115)</f>
        <v>#NUM!</v>
      </c>
    </row>
    <row r="116" spans="1:5" ht="18" customHeight="1" x14ac:dyDescent="0.25">
      <c r="A116" s="10">
        <v>100</v>
      </c>
      <c r="B116" s="13" t="e">
        <f t="shared" si="3"/>
        <v>#NUM!</v>
      </c>
      <c r="C116" s="13" t="e">
        <f t="shared" si="4"/>
        <v>#NUM!</v>
      </c>
      <c r="D116" s="13" t="e">
        <f t="shared" si="5"/>
        <v>#NUM!</v>
      </c>
      <c r="E116" s="13" t="e">
        <f>$C$3+SUM($B$17:B116)</f>
        <v>#NUM!</v>
      </c>
    </row>
  </sheetData>
  <mergeCells count="5">
    <mergeCell ref="A1:C1"/>
    <mergeCell ref="D3:E3"/>
    <mergeCell ref="D5:E5"/>
    <mergeCell ref="D9:E9"/>
    <mergeCell ref="D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2026-02-11T12:22:53Z</dcterms:modified>
</cp:coreProperties>
</file>